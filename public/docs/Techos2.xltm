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\OneDrive\Documentos\Plantillas personalizadas de Office\"/>
    </mc:Choice>
  </mc:AlternateContent>
  <xr:revisionPtr revIDLastSave="0" documentId="13_ncr:1_{FCCE61ED-DDCF-4472-9299-E98788EE101C}" xr6:coauthVersionLast="47" xr6:coauthVersionMax="47" xr10:uidLastSave="{00000000-0000-0000-0000-000000000000}"/>
  <bookViews>
    <workbookView xWindow="-120" yWindow="-120" windowWidth="20730" windowHeight="11760" xr2:uid="{68E9A22D-02D8-41FE-966F-792B52124E02}"/>
  </bookViews>
  <sheets>
    <sheet name="Datos solicitados " sheetId="3" r:id="rId1"/>
    <sheet name="Techo dos Aguas" sheetId="1" r:id="rId2"/>
    <sheet name="Techo de Sierra 90 grados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3" i="2" l="1"/>
  <c r="J4" i="2"/>
  <c r="C4" i="2" s="1"/>
  <c r="G5" i="2"/>
  <c r="G6" i="2"/>
  <c r="G4" i="2"/>
  <c r="J11" i="1"/>
  <c r="K4" i="1"/>
  <c r="C4" i="1" s="1"/>
  <c r="H5" i="1"/>
  <c r="H6" i="1"/>
  <c r="H4" i="1"/>
  <c r="C7" i="1" s="1"/>
  <c r="J12" i="1"/>
  <c r="I14" i="2" l="1"/>
  <c r="C3" i="1"/>
  <c r="C10" i="1" s="1"/>
  <c r="C13" i="1" s="1"/>
  <c r="D13" i="1" s="1"/>
  <c r="C11" i="2"/>
  <c r="C3" i="2"/>
  <c r="C8" i="2" s="1"/>
  <c r="C9" i="2" s="1"/>
  <c r="C14" i="2" l="1"/>
  <c r="C17" i="2" s="1"/>
  <c r="D17" i="2" s="1"/>
  <c r="J14" i="2" s="1"/>
  <c r="K12" i="1"/>
  <c r="K11" i="1"/>
  <c r="M11" i="1" s="1"/>
  <c r="I15" i="3" s="1"/>
  <c r="M12" i="1" l="1"/>
  <c r="I16" i="3" s="1"/>
  <c r="J13" i="2"/>
  <c r="L13" i="2" s="1"/>
  <c r="I18" i="3" s="1"/>
  <c r="L14" i="2" l="1"/>
  <c r="I19" i="3" s="1"/>
</calcChain>
</file>

<file path=xl/sharedStrings.xml><?xml version="1.0" encoding="utf-8"?>
<sst xmlns="http://schemas.openxmlformats.org/spreadsheetml/2006/main" count="88" uniqueCount="43">
  <si>
    <t xml:space="preserve">Medidas de la planta </t>
  </si>
  <si>
    <t>Largo</t>
  </si>
  <si>
    <t>Ancho</t>
  </si>
  <si>
    <t>Altura</t>
  </si>
  <si>
    <t xml:space="preserve">Angulo deseado </t>
  </si>
  <si>
    <t>ϴ</t>
  </si>
  <si>
    <t xml:space="preserve">Lamina Estandar </t>
  </si>
  <si>
    <t>Area Util</t>
  </si>
  <si>
    <t>X</t>
  </si>
  <si>
    <t>Y</t>
  </si>
  <si>
    <t>Saliente estandar</t>
  </si>
  <si>
    <t>2 Pies</t>
  </si>
  <si>
    <t>metros</t>
  </si>
  <si>
    <t>Largo total para cubrir la lamina</t>
  </si>
  <si>
    <t>L</t>
  </si>
  <si>
    <t>Area total a cubrir</t>
  </si>
  <si>
    <t>Area</t>
  </si>
  <si>
    <t>Numero de laminas a utilizar</t>
  </si>
  <si>
    <t>NL</t>
  </si>
  <si>
    <t>Metros</t>
  </si>
  <si>
    <t>Valor real</t>
  </si>
  <si>
    <t>Techo</t>
  </si>
  <si>
    <t xml:space="preserve">Ingresar </t>
  </si>
  <si>
    <t xml:space="preserve">porcentaje de laminas a usar </t>
  </si>
  <si>
    <t>Porcentaje laminas estandar</t>
  </si>
  <si>
    <t>Porcentaje laminas transparente</t>
  </si>
  <si>
    <t>%</t>
  </si>
  <si>
    <t>Cantidad de laminas a usar de cada tipo</t>
  </si>
  <si>
    <t>Altura de los dientes a 90 grados</t>
  </si>
  <si>
    <t>2 metros</t>
  </si>
  <si>
    <t>h</t>
  </si>
  <si>
    <t>Numero de dientes a utilizar</t>
  </si>
  <si>
    <t>ND</t>
  </si>
  <si>
    <t>Numero de Dientes a utilizar</t>
  </si>
  <si>
    <t>Area a cubrir cada diente</t>
  </si>
  <si>
    <t>Ad</t>
  </si>
  <si>
    <t>Real</t>
  </si>
  <si>
    <t>Datos estandar</t>
  </si>
  <si>
    <t>Resultados</t>
  </si>
  <si>
    <t>Estandar</t>
  </si>
  <si>
    <t>Transparente</t>
  </si>
  <si>
    <t>Techo de Sierra</t>
  </si>
  <si>
    <t>Techo dos aguas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</si>
</sst>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sz val="11"/>
      <color rgb="FFFFFFFF"/>
      <name val="Calibri"/>
      <family val="2"/>
      <scheme val="minor"/>
    </font>
    <font>
      <sz val="11"/>
      <color rgb="FFFFFF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9">
    <xf numFmtId="0" fontId="0" fillId="0" borderId="0" xfId="0"/>
    <xf numFmtId="0" fontId="4" fillId="0" borderId="0" xfId="0" applyFont="1"/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/>
    <xf numFmtId="0" fontId="3" fillId="0" borderId="2" xfId="0" applyFont="1" applyBorder="1"/>
    <xf numFmtId="0" fontId="0" fillId="0" borderId="2" xfId="0" applyBorder="1"/>
    <xf numFmtId="0" fontId="0" fillId="0" borderId="1" xfId="0" applyBorder="1" applyAlignment="1">
      <alignment horizontal="center"/>
    </xf>
    <xf numFmtId="0" fontId="0" fillId="3" borderId="1" xfId="0" applyFill="1" applyBorder="1"/>
    <xf numFmtId="9" fontId="0" fillId="0" borderId="1" xfId="1" applyFont="1" applyBorder="1"/>
    <xf numFmtId="0" fontId="2" fillId="4" borderId="1" xfId="0" applyFont="1" applyFill="1" applyBorder="1"/>
    <xf numFmtId="0" fontId="0" fillId="0" borderId="6" xfId="0" applyBorder="1" applyAlignment="1">
      <alignment horizontal="right"/>
    </xf>
    <xf numFmtId="0" fontId="0" fillId="3" borderId="2" xfId="0" applyFill="1" applyBorder="1"/>
    <xf numFmtId="0" fontId="0" fillId="0" borderId="7" xfId="0" applyBorder="1"/>
    <xf numFmtId="9" fontId="0" fillId="0" borderId="7" xfId="1" applyFont="1" applyBorder="1"/>
    <xf numFmtId="0" fontId="0" fillId="3" borderId="1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1" xfId="0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right"/>
    </xf>
    <xf numFmtId="0" fontId="0" fillId="0" borderId="10" xfId="0" applyBorder="1"/>
    <xf numFmtId="0" fontId="3" fillId="0" borderId="9" xfId="0" applyFont="1" applyBorder="1" applyAlignment="1">
      <alignment horizontal="right"/>
    </xf>
    <xf numFmtId="0" fontId="0" fillId="0" borderId="11" xfId="0" applyBorder="1"/>
    <xf numFmtId="0" fontId="0" fillId="0" borderId="12" xfId="0" applyBorder="1" applyAlignment="1">
      <alignment horizontal="right"/>
    </xf>
    <xf numFmtId="0" fontId="0" fillId="0" borderId="4" xfId="0" applyBorder="1"/>
    <xf numFmtId="0" fontId="0" fillId="0" borderId="9" xfId="0" applyBorder="1"/>
    <xf numFmtId="0" fontId="0" fillId="0" borderId="12" xfId="0" applyBorder="1"/>
    <xf numFmtId="0" fontId="0" fillId="0" borderId="6" xfId="0" applyBorder="1"/>
    <xf numFmtId="0" fontId="0" fillId="0" borderId="13" xfId="0" applyBorder="1"/>
    <xf numFmtId="0" fontId="0" fillId="5" borderId="0" xfId="0" applyFill="1" applyAlignment="1"/>
    <xf numFmtId="0" fontId="5" fillId="4" borderId="1" xfId="0" applyFont="1" applyFill="1" applyBorder="1"/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679418</xdr:colOff>
      <xdr:row>11</xdr:row>
      <xdr:rowOff>151288</xdr:rowOff>
    </xdr:from>
    <xdr:ext cx="65" cy="172227"/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67C23EEE-68C5-4F7D-9AEB-E4E05FE4915C}"/>
            </a:ext>
          </a:extLst>
        </xdr:cNvPr>
        <xdr:cNvSpPr txBox="1"/>
      </xdr:nvSpPr>
      <xdr:spPr>
        <a:xfrm>
          <a:off x="5251418" y="262778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GT" sz="1100"/>
        </a:p>
      </xdr:txBody>
    </xdr:sp>
    <xdr:clientData/>
  </xdr:oneCellAnchor>
  <xdr:twoCellAnchor>
    <xdr:from>
      <xdr:col>0</xdr:col>
      <xdr:colOff>666750</xdr:colOff>
      <xdr:row>1</xdr:row>
      <xdr:rowOff>95249</xdr:rowOff>
    </xdr:from>
    <xdr:to>
      <xdr:col>5</xdr:col>
      <xdr:colOff>247650</xdr:colOff>
      <xdr:row>15</xdr:row>
      <xdr:rowOff>38099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5F9CE8F8-1273-6E99-CA28-E4F333AD5959}"/>
            </a:ext>
          </a:extLst>
        </xdr:cNvPr>
        <xdr:cNvSpPr/>
      </xdr:nvSpPr>
      <xdr:spPr>
        <a:xfrm>
          <a:off x="666750" y="285749"/>
          <a:ext cx="3390900" cy="2695575"/>
        </a:xfrm>
        <a:prstGeom prst="roundRect">
          <a:avLst>
            <a:gd name="adj" fmla="val 4825"/>
          </a:avLst>
        </a:prstGeom>
        <a:noFill/>
        <a:ln w="38100"/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GT" sz="1100"/>
        </a:p>
      </xdr:txBody>
    </xdr:sp>
    <xdr:clientData/>
  </xdr:twoCellAnchor>
  <xdr:twoCellAnchor>
    <xdr:from>
      <xdr:col>1</xdr:col>
      <xdr:colOff>333375</xdr:colOff>
      <xdr:row>13</xdr:row>
      <xdr:rowOff>28575</xdr:rowOff>
    </xdr:from>
    <xdr:to>
      <xdr:col>2</xdr:col>
      <xdr:colOff>590550</xdr:colOff>
      <xdr:row>14</xdr:row>
      <xdr:rowOff>123825</xdr:rowOff>
    </xdr:to>
    <xdr:sp macro="[0]!limpiar" textlink="">
      <xdr:nvSpPr>
        <xdr:cNvPr id="12" name="Rectángulo: biselado 11">
          <a:extLst>
            <a:ext uri="{FF2B5EF4-FFF2-40B4-BE49-F238E27FC236}">
              <a16:creationId xmlns:a16="http://schemas.microsoft.com/office/drawing/2014/main" id="{B6A06B2F-E832-FB2C-51CA-E359FDA434B7}"/>
            </a:ext>
          </a:extLst>
        </xdr:cNvPr>
        <xdr:cNvSpPr/>
      </xdr:nvSpPr>
      <xdr:spPr>
        <a:xfrm>
          <a:off x="1095375" y="2590800"/>
          <a:ext cx="1019175" cy="285750"/>
        </a:xfrm>
        <a:prstGeom prst="bevel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100"/>
            <a:t>LImpiar</a:t>
          </a:r>
        </a:p>
      </xdr:txBody>
    </xdr:sp>
    <xdr:clientData/>
  </xdr:twoCellAnchor>
  <xdr:twoCellAnchor>
    <xdr:from>
      <xdr:col>3</xdr:col>
      <xdr:colOff>190500</xdr:colOff>
      <xdr:row>13</xdr:row>
      <xdr:rowOff>38100</xdr:rowOff>
    </xdr:from>
    <xdr:to>
      <xdr:col>4</xdr:col>
      <xdr:colOff>447675</xdr:colOff>
      <xdr:row>14</xdr:row>
      <xdr:rowOff>133350</xdr:rowOff>
    </xdr:to>
    <xdr:sp macro="[0]!calcular" textlink="">
      <xdr:nvSpPr>
        <xdr:cNvPr id="13" name="Rectángulo: biselado 12">
          <a:extLst>
            <a:ext uri="{FF2B5EF4-FFF2-40B4-BE49-F238E27FC236}">
              <a16:creationId xmlns:a16="http://schemas.microsoft.com/office/drawing/2014/main" id="{36FBEB70-80A6-4803-AAC2-509F3E189DE2}"/>
            </a:ext>
          </a:extLst>
        </xdr:cNvPr>
        <xdr:cNvSpPr/>
      </xdr:nvSpPr>
      <xdr:spPr>
        <a:xfrm>
          <a:off x="2476500" y="2600325"/>
          <a:ext cx="1019175" cy="285750"/>
        </a:xfrm>
        <a:prstGeom prst="bevel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100"/>
            <a:t>Calcular</a:t>
          </a:r>
        </a:p>
      </xdr:txBody>
    </xdr:sp>
    <xdr:clientData/>
  </xdr:twoCellAnchor>
  <xdr:twoCellAnchor editAs="oneCell">
    <xdr:from>
      <xdr:col>1</xdr:col>
      <xdr:colOff>133350</xdr:colOff>
      <xdr:row>4</xdr:row>
      <xdr:rowOff>28575</xdr:rowOff>
    </xdr:from>
    <xdr:to>
      <xdr:col>2</xdr:col>
      <xdr:colOff>542925</xdr:colOff>
      <xdr:row>7</xdr:row>
      <xdr:rowOff>38100</xdr:rowOff>
    </xdr:to>
    <xdr:pic>
      <xdr:nvPicPr>
        <xdr:cNvPr id="3" name="Gráfico 2" descr="Blog contorno">
          <a:extLst>
            <a:ext uri="{FF2B5EF4-FFF2-40B4-BE49-F238E27FC236}">
              <a16:creationId xmlns:a16="http://schemas.microsoft.com/office/drawing/2014/main" id="{8C5F19A1-F6D1-67E7-A755-443DBAF83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95350" y="790575"/>
          <a:ext cx="847725" cy="600075"/>
        </a:xfrm>
        <a:prstGeom prst="rect">
          <a:avLst/>
        </a:prstGeom>
      </xdr:spPr>
    </xdr:pic>
    <xdr:clientData/>
  </xdr:twoCellAnchor>
  <xdr:twoCellAnchor>
    <xdr:from>
      <xdr:col>5</xdr:col>
      <xdr:colOff>571500</xdr:colOff>
      <xdr:row>1</xdr:row>
      <xdr:rowOff>133350</xdr:rowOff>
    </xdr:from>
    <xdr:to>
      <xdr:col>9</xdr:col>
      <xdr:colOff>200025</xdr:colOff>
      <xdr:row>10</xdr:row>
      <xdr:rowOff>133350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5372DE40-1B59-5E00-A900-5DCFB29ED14F}"/>
            </a:ext>
          </a:extLst>
        </xdr:cNvPr>
        <xdr:cNvSpPr/>
      </xdr:nvSpPr>
      <xdr:spPr>
        <a:xfrm>
          <a:off x="4057650" y="323850"/>
          <a:ext cx="2676525" cy="1752600"/>
        </a:xfrm>
        <a:prstGeom prst="roundRect">
          <a:avLst/>
        </a:prstGeom>
        <a:noFill/>
        <a:ln w="381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GT" sz="1100"/>
        </a:p>
      </xdr:txBody>
    </xdr:sp>
    <xdr:clientData/>
  </xdr:twoCellAnchor>
  <xdr:twoCellAnchor>
    <xdr:from>
      <xdr:col>5</xdr:col>
      <xdr:colOff>638175</xdr:colOff>
      <xdr:row>11</xdr:row>
      <xdr:rowOff>123825</xdr:rowOff>
    </xdr:from>
    <xdr:to>
      <xdr:col>9</xdr:col>
      <xdr:colOff>152400</xdr:colOff>
      <xdr:row>19</xdr:row>
      <xdr:rowOff>123825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1AD69769-80EC-DC8B-D1CE-5C52E6F4DB92}"/>
            </a:ext>
          </a:extLst>
        </xdr:cNvPr>
        <xdr:cNvSpPr/>
      </xdr:nvSpPr>
      <xdr:spPr>
        <a:xfrm>
          <a:off x="4124325" y="2266950"/>
          <a:ext cx="2609850" cy="1533525"/>
        </a:xfrm>
        <a:prstGeom prst="roundRect">
          <a:avLst>
            <a:gd name="adj" fmla="val 3624"/>
          </a:avLst>
        </a:prstGeom>
        <a:noFill/>
        <a:ln w="381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GT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679418</xdr:colOff>
      <xdr:row>11</xdr:row>
      <xdr:rowOff>151288</xdr:rowOff>
    </xdr:from>
    <xdr:ext cx="65" cy="172227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2DBC5150-AFB9-3066-2DD4-6683F4E7E413}"/>
            </a:ext>
          </a:extLst>
        </xdr:cNvPr>
        <xdr:cNvSpPr txBox="1"/>
      </xdr:nvSpPr>
      <xdr:spPr>
        <a:xfrm>
          <a:off x="6013418" y="224678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GT" sz="1100"/>
        </a:p>
      </xdr:txBody>
    </xdr:sp>
    <xdr:clientData/>
  </xdr:oneCellAnchor>
  <xdr:oneCellAnchor>
    <xdr:from>
      <xdr:col>3</xdr:col>
      <xdr:colOff>126968</xdr:colOff>
      <xdr:row>9</xdr:row>
      <xdr:rowOff>17938</xdr:rowOff>
    </xdr:from>
    <xdr:ext cx="556947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2AD0B300-6443-E3F4-7166-012B2CA53D2C}"/>
                </a:ext>
              </a:extLst>
            </xdr:cNvPr>
            <xdr:cNvSpPr txBox="1"/>
          </xdr:nvSpPr>
          <xdr:spPr>
            <a:xfrm>
              <a:off x="2441543" y="3065938"/>
              <a:ext cx="556947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s-GT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𝑀𝑒𝑡𝑟𝑜𝑠</m:t>
                        </m:r>
                      </m:e>
                      <m:sup>
                        <m:r>
                          <a:rPr lang="es-GT" sz="110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GT" sz="1100"/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2AD0B300-6443-E3F4-7166-012B2CA53D2C}"/>
                </a:ext>
              </a:extLst>
            </xdr:cNvPr>
            <xdr:cNvSpPr txBox="1"/>
          </xdr:nvSpPr>
          <xdr:spPr>
            <a:xfrm>
              <a:off x="2441543" y="3065938"/>
              <a:ext cx="556947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GT" sz="1100" i="0">
                  <a:latin typeface="Cambria Math" panose="02040503050406030204" pitchFamily="18" charset="0"/>
                </a:rPr>
                <a:t>〖</a:t>
              </a:r>
              <a:r>
                <a:rPr lang="en-US" sz="1100" b="0" i="0">
                  <a:latin typeface="Cambria Math" panose="02040503050406030204" pitchFamily="18" charset="0"/>
                </a:rPr>
                <a:t>𝑀𝑒𝑡𝑟𝑜𝑠</a:t>
              </a:r>
              <a:r>
                <a:rPr lang="es-GT" sz="1100" b="0" i="0">
                  <a:latin typeface="Cambria Math" panose="02040503050406030204" pitchFamily="18" charset="0"/>
                </a:rPr>
                <a:t>〗^</a:t>
              </a:r>
              <a:r>
                <a:rPr lang="es-GT" sz="1100" i="0">
                  <a:latin typeface="Cambria Math" panose="02040503050406030204" pitchFamily="18" charset="0"/>
                </a:rPr>
                <a:t>2</a:t>
              </a:r>
              <a:endParaRPr lang="es-GT" sz="11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679418</xdr:colOff>
      <xdr:row>13</xdr:row>
      <xdr:rowOff>151288</xdr:rowOff>
    </xdr:from>
    <xdr:ext cx="65" cy="172227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7F3C496D-4F5F-45BE-B816-11D0EC72FA5C}"/>
            </a:ext>
          </a:extLst>
        </xdr:cNvPr>
        <xdr:cNvSpPr txBox="1"/>
      </xdr:nvSpPr>
      <xdr:spPr>
        <a:xfrm>
          <a:off x="6041993" y="224678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GT" sz="1100"/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592B7-E493-46D1-BF17-021CD843D74D}">
  <sheetPr codeName="Hoja3"/>
  <dimension ref="B3:I19"/>
  <sheetViews>
    <sheetView showGridLines="0" tabSelected="1" workbookViewId="0">
      <selection activeCell="E19" sqref="E19"/>
    </sheetView>
  </sheetViews>
  <sheetFormatPr baseColWidth="10" defaultRowHeight="15" x14ac:dyDescent="0.25"/>
  <cols>
    <col min="2" max="2" width="6.5703125" bestFit="1" customWidth="1"/>
    <col min="9" max="9" width="12.140625" customWidth="1"/>
  </cols>
  <sheetData>
    <row r="3" spans="2:9" x14ac:dyDescent="0.25">
      <c r="B3" s="15" t="s">
        <v>22</v>
      </c>
      <c r="C3" s="15"/>
      <c r="D3" s="15"/>
      <c r="E3" s="15"/>
      <c r="G3" s="22" t="s">
        <v>37</v>
      </c>
      <c r="H3" s="22"/>
      <c r="I3" s="22"/>
    </row>
    <row r="4" spans="2:9" x14ac:dyDescent="0.25">
      <c r="B4" s="19" t="s">
        <v>0</v>
      </c>
      <c r="C4" s="19"/>
      <c r="D4" s="19"/>
      <c r="E4" s="19"/>
      <c r="G4" s="15" t="s">
        <v>6</v>
      </c>
      <c r="H4" s="15"/>
      <c r="I4" s="15"/>
    </row>
    <row r="5" spans="2:9" ht="15.75" thickBot="1" x14ac:dyDescent="0.3">
      <c r="B5" s="32"/>
      <c r="D5" s="31" t="s">
        <v>1</v>
      </c>
      <c r="E5" s="30"/>
      <c r="G5" s="2" t="s">
        <v>7</v>
      </c>
      <c r="H5" s="2">
        <v>2.9626000000000001</v>
      </c>
      <c r="I5" s="2" t="s">
        <v>12</v>
      </c>
    </row>
    <row r="6" spans="2:9" ht="15.75" thickBot="1" x14ac:dyDescent="0.3">
      <c r="B6" s="33"/>
      <c r="D6" s="11" t="s">
        <v>2</v>
      </c>
      <c r="E6" s="13"/>
      <c r="G6" s="15" t="s">
        <v>10</v>
      </c>
      <c r="H6" s="15"/>
      <c r="I6" s="15"/>
    </row>
    <row r="7" spans="2:9" x14ac:dyDescent="0.25">
      <c r="B7" s="34"/>
      <c r="D7" s="27" t="s">
        <v>3</v>
      </c>
      <c r="E7" s="28"/>
      <c r="G7" s="2" t="s">
        <v>11</v>
      </c>
      <c r="H7" s="2">
        <v>0.60960000000000003</v>
      </c>
      <c r="I7" s="2" t="s">
        <v>12</v>
      </c>
    </row>
    <row r="8" spans="2:9" x14ac:dyDescent="0.25">
      <c r="B8" s="15" t="s">
        <v>4</v>
      </c>
      <c r="C8" s="15"/>
      <c r="D8" s="15"/>
      <c r="E8" s="15"/>
      <c r="G8" s="20" t="s">
        <v>28</v>
      </c>
      <c r="H8" s="21"/>
      <c r="I8" s="21"/>
    </row>
    <row r="9" spans="2:9" ht="15.75" thickBot="1" x14ac:dyDescent="0.3">
      <c r="B9" s="35"/>
      <c r="C9" s="36"/>
      <c r="D9" s="29" t="s">
        <v>5</v>
      </c>
      <c r="E9" s="30"/>
      <c r="G9" s="2" t="s">
        <v>29</v>
      </c>
      <c r="H9" s="2">
        <v>2</v>
      </c>
      <c r="I9" s="2"/>
    </row>
    <row r="10" spans="2:9" ht="15.75" thickBot="1" x14ac:dyDescent="0.3">
      <c r="B10" s="15" t="s">
        <v>23</v>
      </c>
      <c r="C10" s="16"/>
      <c r="D10" s="15"/>
      <c r="E10" s="12" t="s">
        <v>26</v>
      </c>
    </row>
    <row r="11" spans="2:9" ht="15.75" thickBot="1" x14ac:dyDescent="0.3">
      <c r="B11" s="17" t="s">
        <v>24</v>
      </c>
      <c r="C11" s="17"/>
      <c r="D11" s="18"/>
      <c r="E11" s="14"/>
    </row>
    <row r="12" spans="2:9" ht="15.75" thickBot="1" x14ac:dyDescent="0.3">
      <c r="B12" s="17" t="s">
        <v>25</v>
      </c>
      <c r="C12" s="17"/>
      <c r="D12" s="18"/>
      <c r="E12" s="14"/>
    </row>
    <row r="13" spans="2:9" x14ac:dyDescent="0.25">
      <c r="G13" s="23" t="s">
        <v>38</v>
      </c>
      <c r="H13" s="23"/>
      <c r="I13" s="23"/>
    </row>
    <row r="14" spans="2:9" x14ac:dyDescent="0.25">
      <c r="G14" s="15" t="s">
        <v>42</v>
      </c>
      <c r="H14" s="15"/>
      <c r="I14" s="15"/>
    </row>
    <row r="15" spans="2:9" x14ac:dyDescent="0.25">
      <c r="F15" s="37"/>
      <c r="G15" s="19" t="s">
        <v>39</v>
      </c>
      <c r="H15" s="19"/>
      <c r="I15" s="38">
        <f>'Techo dos Aguas'!M11</f>
        <v>0</v>
      </c>
    </row>
    <row r="16" spans="2:9" x14ac:dyDescent="0.25">
      <c r="G16" s="19" t="s">
        <v>40</v>
      </c>
      <c r="H16" s="19"/>
      <c r="I16" s="38">
        <f>'Techo dos Aguas'!M12</f>
        <v>1</v>
      </c>
    </row>
    <row r="17" spans="7:9" x14ac:dyDescent="0.25">
      <c r="G17" s="25" t="s">
        <v>41</v>
      </c>
      <c r="H17" s="25"/>
      <c r="I17" s="25"/>
    </row>
    <row r="18" spans="7:9" x14ac:dyDescent="0.25">
      <c r="G18" s="19" t="s">
        <v>39</v>
      </c>
      <c r="H18" s="19"/>
      <c r="I18" s="38" t="e">
        <f>'Techo de Sierra 90 grados'!L13</f>
        <v>#DIV/0!</v>
      </c>
    </row>
    <row r="19" spans="7:9" x14ac:dyDescent="0.25">
      <c r="G19" s="19" t="s">
        <v>40</v>
      </c>
      <c r="H19" s="19"/>
      <c r="I19" s="38" t="e">
        <f>'Techo de Sierra 90 grados'!L14</f>
        <v>#DIV/0!</v>
      </c>
    </row>
  </sheetData>
  <mergeCells count="17">
    <mergeCell ref="G14:I14"/>
    <mergeCell ref="G15:H15"/>
    <mergeCell ref="G16:H16"/>
    <mergeCell ref="G18:H18"/>
    <mergeCell ref="G19:H19"/>
    <mergeCell ref="G17:I17"/>
    <mergeCell ref="G4:I4"/>
    <mergeCell ref="G6:I6"/>
    <mergeCell ref="G8:I8"/>
    <mergeCell ref="G3:I3"/>
    <mergeCell ref="B3:E3"/>
    <mergeCell ref="B8:E8"/>
    <mergeCell ref="B4:E4"/>
    <mergeCell ref="B10:D10"/>
    <mergeCell ref="B11:D11"/>
    <mergeCell ref="B12:D12"/>
    <mergeCell ref="G13:I13"/>
  </mergeCells>
  <dataValidations count="1">
    <dataValidation type="whole" allowBlank="1" showInputMessage="1" showErrorMessage="1" sqref="E5:E7 E9" xr:uid="{FED3F583-D06B-4D2C-BF9E-13A804679F47}">
      <formula1>1</formula1>
      <formula2>100000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20106-186A-441F-834A-97A9A50AE749}">
  <sheetPr codeName="Hoja1"/>
  <dimension ref="B2:M14"/>
  <sheetViews>
    <sheetView showGridLines="0" workbookViewId="0">
      <selection activeCell="J11" sqref="J11:J12"/>
    </sheetView>
  </sheetViews>
  <sheetFormatPr baseColWidth="10" defaultRowHeight="15" x14ac:dyDescent="0.25"/>
  <cols>
    <col min="3" max="3" width="11.85546875" bestFit="1" customWidth="1"/>
    <col min="13" max="13" width="12.140625" customWidth="1"/>
  </cols>
  <sheetData>
    <row r="2" spans="2:13" x14ac:dyDescent="0.25">
      <c r="B2" s="25" t="s">
        <v>21</v>
      </c>
      <c r="C2" s="25"/>
      <c r="G2" s="15" t="s">
        <v>22</v>
      </c>
      <c r="H2" s="15"/>
    </row>
    <row r="3" spans="2:13" x14ac:dyDescent="0.25">
      <c r="B3" s="2" t="s">
        <v>8</v>
      </c>
      <c r="C3" s="3">
        <f>(($H$5/2)/COS(RADIANS(K4)))</f>
        <v>0</v>
      </c>
      <c r="G3" s="19" t="s">
        <v>0</v>
      </c>
      <c r="H3" s="19"/>
      <c r="J3" s="15" t="s">
        <v>4</v>
      </c>
      <c r="K3" s="15"/>
    </row>
    <row r="4" spans="2:13" x14ac:dyDescent="0.25">
      <c r="B4" s="2" t="s">
        <v>9</v>
      </c>
      <c r="C4" s="4">
        <f>(($K$8)/COS(RADIANS($K$4)))</f>
        <v>0.60960000000000003</v>
      </c>
      <c r="G4" s="2" t="s">
        <v>1</v>
      </c>
      <c r="H4" s="2">
        <f>'Datos solicitados '!E5</f>
        <v>0</v>
      </c>
      <c r="J4" s="5" t="s">
        <v>5</v>
      </c>
      <c r="K4" s="6">
        <f>'Datos solicitados '!E9</f>
        <v>0</v>
      </c>
    </row>
    <row r="5" spans="2:13" x14ac:dyDescent="0.25">
      <c r="G5" s="2" t="s">
        <v>2</v>
      </c>
      <c r="H5" s="2">
        <f>'Datos solicitados '!E6</f>
        <v>0</v>
      </c>
      <c r="J5" s="15" t="s">
        <v>6</v>
      </c>
      <c r="K5" s="15"/>
      <c r="L5" s="15"/>
    </row>
    <row r="6" spans="2:13" x14ac:dyDescent="0.25">
      <c r="B6" s="25" t="s">
        <v>13</v>
      </c>
      <c r="C6" s="25"/>
      <c r="D6" s="25"/>
      <c r="G6" s="2" t="s">
        <v>3</v>
      </c>
      <c r="H6" s="2">
        <f>'Datos solicitados '!E7</f>
        <v>0</v>
      </c>
      <c r="J6" s="2" t="s">
        <v>7</v>
      </c>
      <c r="K6" s="2">
        <v>2.9626000000000001</v>
      </c>
      <c r="L6" s="2" t="s">
        <v>12</v>
      </c>
    </row>
    <row r="7" spans="2:13" x14ac:dyDescent="0.25">
      <c r="B7" s="2" t="s">
        <v>14</v>
      </c>
      <c r="C7" s="2">
        <f>H4+2*(K8)</f>
        <v>1.2192000000000001</v>
      </c>
      <c r="D7" s="7" t="s">
        <v>19</v>
      </c>
      <c r="J7" s="15" t="s">
        <v>10</v>
      </c>
      <c r="K7" s="15"/>
      <c r="L7" s="15"/>
    </row>
    <row r="8" spans="2:13" x14ac:dyDescent="0.25">
      <c r="J8" s="2" t="s">
        <v>11</v>
      </c>
      <c r="K8" s="2">
        <v>0.60960000000000003</v>
      </c>
      <c r="L8" s="2" t="s">
        <v>12</v>
      </c>
    </row>
    <row r="9" spans="2:13" x14ac:dyDescent="0.25">
      <c r="B9" s="24" t="s">
        <v>15</v>
      </c>
      <c r="C9" s="24"/>
      <c r="D9" s="24"/>
    </row>
    <row r="10" spans="2:13" x14ac:dyDescent="0.25">
      <c r="B10" s="2" t="s">
        <v>16</v>
      </c>
      <c r="C10" s="3">
        <f>(C3+C4)*C7</f>
        <v>0.74322432000000005</v>
      </c>
      <c r="D10" s="2"/>
      <c r="G10" s="15" t="s">
        <v>23</v>
      </c>
      <c r="H10" s="15"/>
      <c r="I10" s="15"/>
      <c r="J10" s="8" t="s">
        <v>26</v>
      </c>
      <c r="K10" s="23" t="s">
        <v>27</v>
      </c>
      <c r="L10" s="23"/>
      <c r="M10" s="23"/>
    </row>
    <row r="11" spans="2:13" x14ac:dyDescent="0.25">
      <c r="G11" s="26" t="s">
        <v>24</v>
      </c>
      <c r="H11" s="26"/>
      <c r="I11" s="26"/>
      <c r="J11" s="9">
        <f>'Datos solicitados '!E11</f>
        <v>0</v>
      </c>
      <c r="K11" s="19">
        <f>(D13)*(J11)</f>
        <v>0</v>
      </c>
      <c r="L11" s="19"/>
      <c r="M11" s="10">
        <f>MROUND(K11,1)</f>
        <v>0</v>
      </c>
    </row>
    <row r="12" spans="2:13" x14ac:dyDescent="0.25">
      <c r="B12" s="25" t="s">
        <v>31</v>
      </c>
      <c r="C12" s="25"/>
      <c r="D12" s="25"/>
      <c r="G12" s="26" t="s">
        <v>25</v>
      </c>
      <c r="H12" s="26"/>
      <c r="I12" s="26"/>
      <c r="J12" s="9">
        <f>'Datos solicitados '!E12</f>
        <v>0</v>
      </c>
      <c r="K12" s="19">
        <f>D13*J12</f>
        <v>0</v>
      </c>
      <c r="L12" s="19"/>
      <c r="M12" s="10">
        <f>D13-M11</f>
        <v>1</v>
      </c>
    </row>
    <row r="13" spans="2:13" x14ac:dyDescent="0.25">
      <c r="B13" s="2" t="s">
        <v>32</v>
      </c>
      <c r="C13" s="3">
        <f>(C10/K6)*2</f>
        <v>0.50173787889016408</v>
      </c>
      <c r="D13" s="3">
        <f>ROUNDUP(C13,0)</f>
        <v>1</v>
      </c>
    </row>
    <row r="14" spans="2:13" x14ac:dyDescent="0.25">
      <c r="C14" s="1"/>
      <c r="D14" s="2" t="s">
        <v>20</v>
      </c>
    </row>
  </sheetData>
  <mergeCells count="15">
    <mergeCell ref="K10:M10"/>
    <mergeCell ref="K11:L11"/>
    <mergeCell ref="K12:L12"/>
    <mergeCell ref="B9:D9"/>
    <mergeCell ref="B2:C2"/>
    <mergeCell ref="B6:D6"/>
    <mergeCell ref="G3:H3"/>
    <mergeCell ref="J3:K3"/>
    <mergeCell ref="J5:L5"/>
    <mergeCell ref="J7:L7"/>
    <mergeCell ref="G2:H2"/>
    <mergeCell ref="B12:D12"/>
    <mergeCell ref="G10:I10"/>
    <mergeCell ref="G11:I11"/>
    <mergeCell ref="G12:I1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1A6D7-DF45-4A75-A6AD-70540D86C3BD}">
  <sheetPr codeName="Hoja2"/>
  <dimension ref="B2:L17"/>
  <sheetViews>
    <sheetView showGridLines="0" workbookViewId="0">
      <selection activeCell="I13" sqref="I13:I14"/>
    </sheetView>
  </sheetViews>
  <sheetFormatPr baseColWidth="10" defaultRowHeight="15" x14ac:dyDescent="0.25"/>
  <sheetData>
    <row r="2" spans="2:12" x14ac:dyDescent="0.25">
      <c r="B2" s="25" t="s">
        <v>21</v>
      </c>
      <c r="C2" s="25"/>
      <c r="F2" s="15" t="s">
        <v>22</v>
      </c>
      <c r="G2" s="15"/>
    </row>
    <row r="3" spans="2:12" x14ac:dyDescent="0.25">
      <c r="B3" s="2" t="s">
        <v>8</v>
      </c>
      <c r="C3" s="3" t="e">
        <f>((J10)/TAN(RADIANS(J4)))</f>
        <v>#DIV/0!</v>
      </c>
      <c r="F3" s="19" t="s">
        <v>0</v>
      </c>
      <c r="G3" s="19"/>
      <c r="I3" s="15" t="s">
        <v>4</v>
      </c>
      <c r="J3" s="15"/>
    </row>
    <row r="4" spans="2:12" x14ac:dyDescent="0.25">
      <c r="B4" s="2" t="s">
        <v>30</v>
      </c>
      <c r="C4" s="4" t="e">
        <f>J10/(SIN(RADIANS(J4)))</f>
        <v>#DIV/0!</v>
      </c>
      <c r="F4" s="2" t="s">
        <v>1</v>
      </c>
      <c r="G4" s="2">
        <f>'Datos solicitados '!E5</f>
        <v>0</v>
      </c>
      <c r="I4" s="5" t="s">
        <v>5</v>
      </c>
      <c r="J4" s="6">
        <f>'Datos solicitados '!E9</f>
        <v>0</v>
      </c>
    </row>
    <row r="5" spans="2:12" x14ac:dyDescent="0.25">
      <c r="F5" s="2" t="s">
        <v>2</v>
      </c>
      <c r="G5" s="2">
        <f>'Datos solicitados '!E6</f>
        <v>0</v>
      </c>
      <c r="I5" s="15" t="s">
        <v>6</v>
      </c>
      <c r="J5" s="15"/>
      <c r="K5" s="15"/>
    </row>
    <row r="6" spans="2:12" x14ac:dyDescent="0.25">
      <c r="F6" s="2" t="s">
        <v>3</v>
      </c>
      <c r="G6" s="2">
        <f>'Datos solicitados '!E7</f>
        <v>0</v>
      </c>
      <c r="I6" s="2" t="s">
        <v>7</v>
      </c>
      <c r="J6" s="2">
        <v>2.9626000000000001</v>
      </c>
      <c r="K6" s="2" t="s">
        <v>12</v>
      </c>
    </row>
    <row r="7" spans="2:12" x14ac:dyDescent="0.25">
      <c r="B7" s="25" t="s">
        <v>33</v>
      </c>
      <c r="C7" s="25"/>
      <c r="D7" s="25"/>
      <c r="I7" s="15" t="s">
        <v>10</v>
      </c>
      <c r="J7" s="15"/>
      <c r="K7" s="15"/>
    </row>
    <row r="8" spans="2:12" x14ac:dyDescent="0.25">
      <c r="B8" s="2" t="s">
        <v>32</v>
      </c>
      <c r="C8" s="2" t="e">
        <f>G4/C3</f>
        <v>#DIV/0!</v>
      </c>
      <c r="I8" s="2" t="s">
        <v>11</v>
      </c>
      <c r="J8" s="2">
        <v>0.60960000000000003</v>
      </c>
      <c r="K8" s="2" t="s">
        <v>12</v>
      </c>
    </row>
    <row r="9" spans="2:12" x14ac:dyDescent="0.25">
      <c r="B9" s="2" t="s">
        <v>36</v>
      </c>
      <c r="C9" s="2" t="e">
        <f>ROUNDUP(C8,0)</f>
        <v>#DIV/0!</v>
      </c>
      <c r="I9" s="20" t="s">
        <v>28</v>
      </c>
      <c r="J9" s="21"/>
      <c r="K9" s="21"/>
    </row>
    <row r="10" spans="2:12" x14ac:dyDescent="0.25">
      <c r="B10" s="25" t="s">
        <v>34</v>
      </c>
      <c r="C10" s="25"/>
      <c r="I10" s="2" t="s">
        <v>29</v>
      </c>
      <c r="J10" s="2">
        <v>2</v>
      </c>
      <c r="K10" s="2"/>
    </row>
    <row r="11" spans="2:12" x14ac:dyDescent="0.25">
      <c r="B11" s="2" t="s">
        <v>35</v>
      </c>
      <c r="C11" s="2" t="e">
        <f>C4*G5</f>
        <v>#DIV/0!</v>
      </c>
    </row>
    <row r="12" spans="2:12" x14ac:dyDescent="0.25">
      <c r="F12" s="15" t="s">
        <v>23</v>
      </c>
      <c r="G12" s="15"/>
      <c r="H12" s="15"/>
      <c r="I12" s="8" t="s">
        <v>26</v>
      </c>
      <c r="J12" s="23" t="s">
        <v>27</v>
      </c>
      <c r="K12" s="23"/>
      <c r="L12" s="23"/>
    </row>
    <row r="13" spans="2:12" x14ac:dyDescent="0.25">
      <c r="B13" s="25" t="s">
        <v>15</v>
      </c>
      <c r="C13" s="25"/>
      <c r="F13" s="26" t="s">
        <v>24</v>
      </c>
      <c r="G13" s="26"/>
      <c r="H13" s="26"/>
      <c r="I13" s="9">
        <f>'Datos solicitados '!E11</f>
        <v>0</v>
      </c>
      <c r="J13" s="19" t="e">
        <f>(D17)*(I13)</f>
        <v>#DIV/0!</v>
      </c>
      <c r="K13" s="19"/>
      <c r="L13" s="10" t="e">
        <f>MROUND(J13,1)</f>
        <v>#DIV/0!</v>
      </c>
    </row>
    <row r="14" spans="2:12" x14ac:dyDescent="0.25">
      <c r="B14" s="2" t="s">
        <v>16</v>
      </c>
      <c r="C14" s="2" t="e">
        <f>C11*C9</f>
        <v>#DIV/0!</v>
      </c>
      <c r="F14" s="26" t="s">
        <v>25</v>
      </c>
      <c r="G14" s="26"/>
      <c r="H14" s="26"/>
      <c r="I14" s="9">
        <f>'Datos solicitados '!E12</f>
        <v>0</v>
      </c>
      <c r="J14" s="19" t="e">
        <f>D17*I14</f>
        <v>#DIV/0!</v>
      </c>
      <c r="K14" s="19"/>
      <c r="L14" s="10" t="e">
        <f>D17-L13</f>
        <v>#DIV/0!</v>
      </c>
    </row>
    <row r="16" spans="2:12" x14ac:dyDescent="0.25">
      <c r="B16" s="25" t="s">
        <v>17</v>
      </c>
      <c r="C16" s="25"/>
      <c r="D16" s="25"/>
    </row>
    <row r="17" spans="2:4" x14ac:dyDescent="0.25">
      <c r="B17" s="2" t="s">
        <v>18</v>
      </c>
      <c r="C17" s="2" t="e">
        <f>C14/J6</f>
        <v>#DIV/0!</v>
      </c>
      <c r="D17" s="2" t="e">
        <f>ROUNDUP(C17,0)</f>
        <v>#DIV/0!</v>
      </c>
    </row>
  </sheetData>
  <mergeCells count="17">
    <mergeCell ref="B10:C10"/>
    <mergeCell ref="B13:C13"/>
    <mergeCell ref="B16:D16"/>
    <mergeCell ref="I9:K9"/>
    <mergeCell ref="F12:H12"/>
    <mergeCell ref="J12:L12"/>
    <mergeCell ref="F13:H13"/>
    <mergeCell ref="J13:K13"/>
    <mergeCell ref="F14:H14"/>
    <mergeCell ref="J14:K14"/>
    <mergeCell ref="B2:C2"/>
    <mergeCell ref="B7:D7"/>
    <mergeCell ref="F2:G2"/>
    <mergeCell ref="F3:G3"/>
    <mergeCell ref="I3:J3"/>
    <mergeCell ref="I5:K5"/>
    <mergeCell ref="I7:K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 solicitados </vt:lpstr>
      <vt:lpstr>Techo dos Aguas</vt:lpstr>
      <vt:lpstr>Techo de Sierra 90 grados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Izas</dc:creator>
  <cp:lastModifiedBy>Jonathan Izas</cp:lastModifiedBy>
  <dcterms:created xsi:type="dcterms:W3CDTF">2023-10-12T03:45:58Z</dcterms:created>
  <dcterms:modified xsi:type="dcterms:W3CDTF">2023-10-12T19:36:37Z</dcterms:modified>
</cp:coreProperties>
</file>